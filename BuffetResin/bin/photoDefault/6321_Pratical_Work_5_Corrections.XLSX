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/>
  <xr:revisionPtr revIDLastSave="0" documentId="13_ncr:1_{95A25DD2-44C5-4C2D-A084-51EA6D3E202F}" xr6:coauthVersionLast="31" xr6:coauthVersionMax="31" xr10:uidLastSave="{00000000-0000-0000-0000-000000000000}"/>
  <bookViews>
    <workbookView xWindow="0" yWindow="0" windowWidth="22260" windowHeight="12645" xr2:uid="{00000000-000D-0000-FFFF-FFFF00000000}"/>
  </bookViews>
  <sheets>
    <sheet name="Tabelle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5" i="1" l="1"/>
  <c r="S6" i="1"/>
  <c r="S7" i="1"/>
  <c r="S8" i="1"/>
  <c r="S9" i="1"/>
  <c r="S10" i="1"/>
  <c r="S11" i="1"/>
  <c r="S12" i="1"/>
  <c r="S13" i="1"/>
  <c r="S14" i="1"/>
  <c r="S15" i="1"/>
  <c r="T15" i="1" s="1"/>
  <c r="S16" i="1"/>
  <c r="T16" i="1" s="1"/>
  <c r="S17" i="1"/>
  <c r="T17" i="1"/>
  <c r="S18" i="1"/>
  <c r="T18" i="1" s="1"/>
  <c r="S19" i="1"/>
  <c r="S20" i="1"/>
  <c r="T20" i="1"/>
  <c r="S21" i="1"/>
  <c r="S22" i="1"/>
  <c r="T22" i="1"/>
  <c r="S23" i="1"/>
  <c r="T23" i="1" s="1"/>
  <c r="S24" i="1"/>
  <c r="S25" i="1"/>
  <c r="S26" i="1"/>
  <c r="T26" i="1" s="1"/>
  <c r="S27" i="1"/>
  <c r="T27" i="1"/>
  <c r="S28" i="1"/>
  <c r="T28" i="1"/>
  <c r="S29" i="1"/>
  <c r="S30" i="1"/>
  <c r="T30" i="1"/>
  <c r="S31" i="1"/>
  <c r="T31" i="1" s="1"/>
  <c r="S32" i="1"/>
  <c r="T32" i="1" s="1"/>
  <c r="S33" i="1"/>
  <c r="S34" i="1"/>
  <c r="T34" i="1" s="1"/>
  <c r="S35" i="1"/>
  <c r="T35" i="1"/>
  <c r="S36" i="1"/>
  <c r="S37" i="1"/>
  <c r="S38" i="1"/>
  <c r="S39" i="1"/>
  <c r="S40" i="1"/>
  <c r="T40" i="1" s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2" i="1"/>
  <c r="G23" i="1"/>
  <c r="G24" i="1"/>
  <c r="G25" i="1"/>
  <c r="G26" i="1"/>
  <c r="G27" i="1"/>
  <c r="G28" i="1"/>
  <c r="G30" i="1"/>
  <c r="G31" i="1"/>
  <c r="G32" i="1"/>
  <c r="G33" i="1"/>
  <c r="G34" i="1"/>
  <c r="G35" i="1"/>
  <c r="G36" i="1"/>
  <c r="G37" i="1"/>
  <c r="G38" i="1"/>
  <c r="G39" i="1"/>
  <c r="G40" i="1"/>
  <c r="S4" i="1"/>
  <c r="P4" i="1"/>
  <c r="G4" i="1"/>
  <c r="T24" i="1" l="1"/>
  <c r="U24" i="1" s="1"/>
  <c r="T11" i="1"/>
  <c r="T37" i="1"/>
  <c r="U37" i="1" s="1"/>
  <c r="T13" i="1"/>
  <c r="U13" i="1" s="1"/>
  <c r="T12" i="1"/>
  <c r="T21" i="1"/>
  <c r="U21" i="1" s="1"/>
  <c r="T9" i="1"/>
  <c r="T19" i="1"/>
  <c r="T7" i="1"/>
  <c r="U7" i="1" s="1"/>
  <c r="T38" i="1"/>
  <c r="T6" i="1"/>
  <c r="T10" i="1"/>
  <c r="U10" i="1" s="1"/>
  <c r="T8" i="1"/>
  <c r="U8" i="1" s="1"/>
  <c r="T36" i="1"/>
  <c r="T33" i="1"/>
  <c r="T29" i="1"/>
  <c r="U29" i="1" s="1"/>
  <c r="T25" i="1"/>
  <c r="U18" i="1"/>
  <c r="U23" i="1"/>
  <c r="U32" i="1"/>
  <c r="U26" i="1"/>
  <c r="U34" i="1"/>
  <c r="U20" i="1"/>
  <c r="U28" i="1"/>
  <c r="U36" i="1"/>
  <c r="U15" i="1"/>
  <c r="T39" i="1"/>
  <c r="U39" i="1" s="1"/>
  <c r="T5" i="1"/>
  <c r="U5" i="1" s="1"/>
  <c r="T14" i="1"/>
  <c r="U14" i="1" s="1"/>
  <c r="T4" i="1"/>
  <c r="U31" i="1" s="1"/>
  <c r="U4" i="1" l="1"/>
  <c r="U19" i="1"/>
  <c r="U33" i="1"/>
  <c r="U11" i="1"/>
  <c r="U30" i="1"/>
  <c r="U6" i="1"/>
  <c r="U17" i="1"/>
  <c r="U38" i="1"/>
  <c r="U27" i="1"/>
  <c r="U25" i="1"/>
  <c r="U22" i="1"/>
  <c r="U35" i="1"/>
  <c r="U9" i="1"/>
  <c r="U16" i="1"/>
  <c r="U12" i="1"/>
  <c r="U40" i="1"/>
</calcChain>
</file>

<file path=xl/sharedStrings.xml><?xml version="1.0" encoding="utf-8"?>
<sst xmlns="http://schemas.openxmlformats.org/spreadsheetml/2006/main" count="63" uniqueCount="53">
  <si>
    <t>Name</t>
  </si>
  <si>
    <t>Maximale Punktezahl</t>
  </si>
  <si>
    <t>Asani Agron</t>
  </si>
  <si>
    <t>Buffet Raphael</t>
  </si>
  <si>
    <t>Burgener Sascha</t>
  </si>
  <si>
    <t>Garbely Patrick</t>
  </si>
  <si>
    <t>Kalbermatten Jannis</t>
  </si>
  <si>
    <t>Kalbermatten Xavier</t>
  </si>
  <si>
    <t>Steiner Solange</t>
  </si>
  <si>
    <t>Wasmer Damian</t>
  </si>
  <si>
    <t>Jollien Yann</t>
  </si>
  <si>
    <t>Alder Jean-Marie</t>
  </si>
  <si>
    <t>Biselx Alain</t>
  </si>
  <si>
    <t>Bornand Mathias</t>
  </si>
  <si>
    <t>Bressoud Daniel</t>
  </si>
  <si>
    <t>Bridy Vivian</t>
  </si>
  <si>
    <t>Buffet Loan</t>
  </si>
  <si>
    <t>Castagna Romain</t>
  </si>
  <si>
    <t>Clivaz Loris</t>
  </si>
  <si>
    <t>Cotter Valentine</t>
  </si>
  <si>
    <t>Felley David</t>
  </si>
  <si>
    <t>Ferreira da Silva João Carlos</t>
  </si>
  <si>
    <t>Jaquet Valentin</t>
  </si>
  <si>
    <t>Jeyakumar Ashan</t>
  </si>
  <si>
    <t>Mermod Yannick</t>
  </si>
  <si>
    <t>Moreira Rita</t>
  </si>
  <si>
    <t>Nascimento Almeida Marco</t>
  </si>
  <si>
    <t>Pilloud Jonas</t>
  </si>
  <si>
    <t>Pinto Da Silva Samuel</t>
  </si>
  <si>
    <t>Praz Florent</t>
  </si>
  <si>
    <t>Python Loïc</t>
  </si>
  <si>
    <t>Resin Julien</t>
  </si>
  <si>
    <t>Ribeiro Teixeira Nelson David</t>
  </si>
  <si>
    <t>Salyador Beyza</t>
  </si>
  <si>
    <t>Schweizer Alexandre</t>
  </si>
  <si>
    <t>Viriot Audrey</t>
  </si>
  <si>
    <t>W5Q1 – 1</t>
  </si>
  <si>
    <t>W5Q2 – 1 IMPLICIT CAST</t>
  </si>
  <si>
    <t>Total</t>
  </si>
  <si>
    <t>W5Q2 – 2 By value / by reference</t>
  </si>
  <si>
    <t>W5Q2 – 3 This</t>
  </si>
  <si>
    <t>W5Q3 – 1 Shipping</t>
  </si>
  <si>
    <t>Code</t>
  </si>
  <si>
    <t>Class Diagram</t>
  </si>
  <si>
    <t>Q1</t>
  </si>
  <si>
    <t>Q2</t>
  </si>
  <si>
    <t>Q3</t>
  </si>
  <si>
    <t>Q4</t>
  </si>
  <si>
    <t>Q5</t>
  </si>
  <si>
    <t>Q</t>
  </si>
  <si>
    <t>Total All</t>
  </si>
  <si>
    <t>Mark</t>
  </si>
  <si>
    <t>Zero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</si>
</sst>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3" borderId="0" xfId="0" applyFill="1"/>
    <xf numFmtId="0" fontId="0" fillId="0" borderId="1" xfId="0" applyBorder="1"/>
    <xf numFmtId="0" fontId="1" fillId="0" borderId="1" xfId="0" applyFont="1" applyBorder="1"/>
    <xf numFmtId="0" fontId="0" fillId="3" borderId="1" xfId="0" applyFill="1" applyBorder="1" applyAlignment="1"/>
    <xf numFmtId="0" fontId="0" fillId="3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wrapText="1"/>
    </xf>
    <xf numFmtId="0" fontId="0" fillId="4" borderId="1" xfId="0" applyFont="1" applyFill="1" applyBorder="1" applyAlignment="1">
      <alignment horizontal="left" wrapText="1"/>
    </xf>
    <xf numFmtId="0" fontId="0" fillId="4" borderId="1" xfId="0" applyFill="1" applyBorder="1"/>
    <xf numFmtId="0" fontId="1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4" borderId="0" xfId="0" applyFill="1"/>
    <xf numFmtId="0" fontId="2" fillId="4" borderId="1" xfId="0" applyFont="1" applyFill="1" applyBorder="1" applyAlignment="1">
      <alignment horizontal="left" wrapText="1"/>
    </xf>
    <xf numFmtId="164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40"/>
  <sheetViews>
    <sheetView tabSelected="1" zoomScaleNormal="100" workbookViewId="0">
      <selection activeCell="N43" sqref="N43"/>
    </sheetView>
  </sheetViews>
  <sheetFormatPr baseColWidth="10" defaultColWidth="9.140625" defaultRowHeight="15" x14ac:dyDescent="0.25"/>
  <cols>
    <col min="1" max="1" width="20.140625" customWidth="1"/>
    <col min="2" max="6" width="4.7109375" customWidth="1"/>
    <col min="7" max="7" width="10.5703125" style="1" customWidth="1"/>
    <col min="8" max="14" width="7.7109375" customWidth="1"/>
    <col min="15" max="15" width="13.140625" bestFit="1" customWidth="1"/>
    <col min="16" max="16" width="9.140625" style="1"/>
    <col min="18" max="18" width="13.85546875" customWidth="1"/>
    <col min="19" max="19" width="9.140625" style="1"/>
    <col min="20" max="20" width="18.42578125" style="2" customWidth="1"/>
    <col min="21" max="21" width="18.42578125" style="23" customWidth="1"/>
  </cols>
  <sheetData>
    <row r="2" spans="1:21" x14ac:dyDescent="0.25">
      <c r="A2" s="4"/>
      <c r="B2" s="24" t="s">
        <v>36</v>
      </c>
      <c r="C2" s="24"/>
      <c r="D2" s="24"/>
      <c r="E2" s="24"/>
      <c r="F2" s="24"/>
      <c r="G2" s="25" t="s">
        <v>38</v>
      </c>
      <c r="H2" s="24" t="s">
        <v>37</v>
      </c>
      <c r="I2" s="24"/>
      <c r="J2" s="24"/>
      <c r="K2" s="24" t="s">
        <v>39</v>
      </c>
      <c r="L2" s="24"/>
      <c r="M2" s="24"/>
      <c r="N2" s="24"/>
      <c r="O2" s="5" t="s">
        <v>40</v>
      </c>
      <c r="P2" s="25" t="s">
        <v>38</v>
      </c>
      <c r="Q2" s="24" t="s">
        <v>41</v>
      </c>
      <c r="R2" s="24"/>
      <c r="S2" s="25" t="s">
        <v>38</v>
      </c>
      <c r="T2" s="26" t="s">
        <v>50</v>
      </c>
      <c r="U2" s="25" t="s">
        <v>51</v>
      </c>
    </row>
    <row r="3" spans="1:21" x14ac:dyDescent="0.25">
      <c r="A3" s="4" t="s">
        <v>0</v>
      </c>
      <c r="B3" s="4" t="s">
        <v>44</v>
      </c>
      <c r="C3" s="4" t="s">
        <v>45</v>
      </c>
      <c r="D3" s="4" t="s">
        <v>46</v>
      </c>
      <c r="E3" s="4" t="s">
        <v>47</v>
      </c>
      <c r="F3" s="4" t="s">
        <v>48</v>
      </c>
      <c r="G3" s="25"/>
      <c r="H3" s="4" t="s">
        <v>44</v>
      </c>
      <c r="I3" s="4" t="s">
        <v>45</v>
      </c>
      <c r="J3" s="4" t="s">
        <v>46</v>
      </c>
      <c r="K3" s="4" t="s">
        <v>44</v>
      </c>
      <c r="L3" s="4" t="s">
        <v>45</v>
      </c>
      <c r="M3" s="4" t="s">
        <v>46</v>
      </c>
      <c r="N3" s="4" t="s">
        <v>47</v>
      </c>
      <c r="O3" s="4" t="s">
        <v>49</v>
      </c>
      <c r="P3" s="25"/>
      <c r="Q3" s="4" t="s">
        <v>42</v>
      </c>
      <c r="R3" s="4" t="s">
        <v>43</v>
      </c>
      <c r="S3" s="25"/>
      <c r="T3" s="26"/>
      <c r="U3" s="25"/>
    </row>
    <row r="4" spans="1:21" s="3" customFormat="1" x14ac:dyDescent="0.25">
      <c r="A4" s="6" t="s">
        <v>1</v>
      </c>
      <c r="B4" s="6">
        <v>1</v>
      </c>
      <c r="C4" s="7">
        <v>1</v>
      </c>
      <c r="D4" s="7">
        <v>1</v>
      </c>
      <c r="E4" s="7">
        <v>1</v>
      </c>
      <c r="F4" s="7">
        <v>1</v>
      </c>
      <c r="G4" s="8">
        <f>F4+E4+D4+C4+B4</f>
        <v>5</v>
      </c>
      <c r="H4" s="7">
        <v>1</v>
      </c>
      <c r="I4" s="7">
        <v>1</v>
      </c>
      <c r="J4" s="7">
        <v>1</v>
      </c>
      <c r="K4" s="7">
        <v>1</v>
      </c>
      <c r="L4" s="7">
        <v>1</v>
      </c>
      <c r="M4" s="7">
        <v>1</v>
      </c>
      <c r="N4" s="7">
        <v>1</v>
      </c>
      <c r="O4" s="7">
        <v>2</v>
      </c>
      <c r="P4" s="8">
        <f>O4+N4+M4+L4+K4+J4+I4+H4</f>
        <v>9</v>
      </c>
      <c r="Q4" s="7">
        <v>3</v>
      </c>
      <c r="R4" s="7">
        <v>1</v>
      </c>
      <c r="S4" s="8">
        <f>R4+Q4</f>
        <v>4</v>
      </c>
      <c r="T4" s="9">
        <f>S4+P4+G4</f>
        <v>18</v>
      </c>
      <c r="U4" s="20">
        <f>5/$T$4*T4+1</f>
        <v>6</v>
      </c>
    </row>
    <row r="5" spans="1:21" s="18" customFormat="1" x14ac:dyDescent="0.25">
      <c r="A5" s="14" t="s">
        <v>2</v>
      </c>
      <c r="B5" s="15">
        <v>1</v>
      </c>
      <c r="C5" s="15">
        <v>1</v>
      </c>
      <c r="D5" s="15">
        <v>1</v>
      </c>
      <c r="E5" s="15">
        <v>1</v>
      </c>
      <c r="F5" s="15">
        <v>1</v>
      </c>
      <c r="G5" s="16">
        <f t="shared" ref="G5:G40" si="0">F5+E5+D5+C5+B5</f>
        <v>5</v>
      </c>
      <c r="H5" s="15">
        <v>1</v>
      </c>
      <c r="I5" s="15">
        <v>1</v>
      </c>
      <c r="J5" s="15">
        <v>1</v>
      </c>
      <c r="K5" s="15">
        <v>1</v>
      </c>
      <c r="L5" s="15">
        <v>1</v>
      </c>
      <c r="M5" s="15">
        <v>1</v>
      </c>
      <c r="N5" s="15">
        <v>1</v>
      </c>
      <c r="O5" s="15">
        <v>2</v>
      </c>
      <c r="P5" s="16">
        <f t="shared" ref="P5:P40" si="1">O5+N5+M5+L5+K5+J5+I5+H5</f>
        <v>9</v>
      </c>
      <c r="Q5" s="15">
        <v>3</v>
      </c>
      <c r="R5" s="15">
        <v>0</v>
      </c>
      <c r="S5" s="16">
        <f t="shared" ref="S5:S40" si="2">R5+Q5</f>
        <v>3</v>
      </c>
      <c r="T5" s="17">
        <f t="shared" ref="T5:T40" si="3">S5+P5+G5</f>
        <v>17</v>
      </c>
      <c r="U5" s="21">
        <f t="shared" ref="U5:U40" si="4">5/$T$4*T5+1</f>
        <v>5.7222222222222223</v>
      </c>
    </row>
    <row r="6" spans="1:21" x14ac:dyDescent="0.25">
      <c r="A6" s="10" t="s">
        <v>3</v>
      </c>
      <c r="B6" s="4">
        <v>1</v>
      </c>
      <c r="C6" s="4">
        <v>1</v>
      </c>
      <c r="D6" s="4">
        <v>1</v>
      </c>
      <c r="E6" s="4">
        <v>1</v>
      </c>
      <c r="F6" s="4">
        <v>1</v>
      </c>
      <c r="G6" s="11">
        <f t="shared" si="0"/>
        <v>5</v>
      </c>
      <c r="H6" s="4">
        <v>1</v>
      </c>
      <c r="I6" s="4">
        <v>0</v>
      </c>
      <c r="J6" s="4">
        <v>0.5</v>
      </c>
      <c r="K6" s="4">
        <v>1</v>
      </c>
      <c r="L6" s="4">
        <v>1</v>
      </c>
      <c r="M6" s="4">
        <v>1</v>
      </c>
      <c r="N6" s="4">
        <v>1</v>
      </c>
      <c r="O6" s="4">
        <v>2</v>
      </c>
      <c r="P6" s="11">
        <f t="shared" si="1"/>
        <v>7.5</v>
      </c>
      <c r="Q6" s="4">
        <v>1</v>
      </c>
      <c r="R6" s="4">
        <v>0</v>
      </c>
      <c r="S6" s="11">
        <f t="shared" si="2"/>
        <v>1</v>
      </c>
      <c r="T6" s="12">
        <f t="shared" si="3"/>
        <v>13.5</v>
      </c>
      <c r="U6" s="22">
        <f t="shared" si="4"/>
        <v>4.75</v>
      </c>
    </row>
    <row r="7" spans="1:21" s="18" customFormat="1" x14ac:dyDescent="0.25">
      <c r="A7" s="14" t="s">
        <v>4</v>
      </c>
      <c r="B7" s="15">
        <v>1</v>
      </c>
      <c r="C7" s="15">
        <v>1</v>
      </c>
      <c r="D7" s="15">
        <v>1</v>
      </c>
      <c r="E7" s="15">
        <v>1</v>
      </c>
      <c r="F7" s="15">
        <v>1</v>
      </c>
      <c r="G7" s="16">
        <f t="shared" si="0"/>
        <v>5</v>
      </c>
      <c r="H7" s="15">
        <v>1</v>
      </c>
      <c r="I7" s="15">
        <v>1</v>
      </c>
      <c r="J7" s="15">
        <v>1</v>
      </c>
      <c r="K7" s="15">
        <v>1</v>
      </c>
      <c r="L7" s="15">
        <v>1</v>
      </c>
      <c r="M7" s="15">
        <v>1</v>
      </c>
      <c r="N7" s="15">
        <v>1</v>
      </c>
      <c r="O7" s="15">
        <v>2</v>
      </c>
      <c r="P7" s="16">
        <f t="shared" si="1"/>
        <v>9</v>
      </c>
      <c r="Q7" s="15">
        <v>3</v>
      </c>
      <c r="R7" s="15">
        <v>0</v>
      </c>
      <c r="S7" s="16">
        <f t="shared" si="2"/>
        <v>3</v>
      </c>
      <c r="T7" s="17">
        <f t="shared" si="3"/>
        <v>17</v>
      </c>
      <c r="U7" s="21">
        <f t="shared" si="4"/>
        <v>5.7222222222222223</v>
      </c>
    </row>
    <row r="8" spans="1:21" x14ac:dyDescent="0.25">
      <c r="A8" s="10" t="s">
        <v>5</v>
      </c>
      <c r="B8" s="4">
        <v>1</v>
      </c>
      <c r="C8" s="4">
        <v>1</v>
      </c>
      <c r="D8" s="4">
        <v>1</v>
      </c>
      <c r="E8" s="4">
        <v>1</v>
      </c>
      <c r="F8" s="4">
        <v>1</v>
      </c>
      <c r="G8" s="11">
        <f t="shared" si="0"/>
        <v>5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2</v>
      </c>
      <c r="P8" s="11">
        <f t="shared" si="1"/>
        <v>9</v>
      </c>
      <c r="Q8" s="4">
        <v>2.5</v>
      </c>
      <c r="R8" s="4">
        <v>1</v>
      </c>
      <c r="S8" s="11">
        <f t="shared" si="2"/>
        <v>3.5</v>
      </c>
      <c r="T8" s="12">
        <f t="shared" si="3"/>
        <v>17.5</v>
      </c>
      <c r="U8" s="22">
        <f t="shared" si="4"/>
        <v>5.8611111111111116</v>
      </c>
    </row>
    <row r="9" spans="1:21" s="18" customFormat="1" x14ac:dyDescent="0.25">
      <c r="A9" s="14" t="s">
        <v>6</v>
      </c>
      <c r="B9" s="15">
        <v>1</v>
      </c>
      <c r="C9" s="15">
        <v>1</v>
      </c>
      <c r="D9" s="15">
        <v>1</v>
      </c>
      <c r="E9" s="15">
        <v>1</v>
      </c>
      <c r="F9" s="15">
        <v>1</v>
      </c>
      <c r="G9" s="16">
        <f t="shared" si="0"/>
        <v>5</v>
      </c>
      <c r="H9" s="15">
        <v>1</v>
      </c>
      <c r="I9" s="15">
        <v>1</v>
      </c>
      <c r="J9" s="15">
        <v>1</v>
      </c>
      <c r="K9" s="15">
        <v>1</v>
      </c>
      <c r="L9" s="15">
        <v>1</v>
      </c>
      <c r="M9" s="15">
        <v>1</v>
      </c>
      <c r="N9" s="15">
        <v>0</v>
      </c>
      <c r="O9" s="15">
        <v>2</v>
      </c>
      <c r="P9" s="16">
        <f t="shared" si="1"/>
        <v>8</v>
      </c>
      <c r="Q9" s="15">
        <v>3</v>
      </c>
      <c r="R9" s="15">
        <v>1</v>
      </c>
      <c r="S9" s="16">
        <f t="shared" si="2"/>
        <v>4</v>
      </c>
      <c r="T9" s="17">
        <f t="shared" si="3"/>
        <v>17</v>
      </c>
      <c r="U9" s="21">
        <f t="shared" si="4"/>
        <v>5.7222222222222223</v>
      </c>
    </row>
    <row r="10" spans="1:21" x14ac:dyDescent="0.25">
      <c r="A10" s="10" t="s">
        <v>7</v>
      </c>
      <c r="B10" s="4">
        <v>1</v>
      </c>
      <c r="C10" s="4">
        <v>1</v>
      </c>
      <c r="D10" s="4">
        <v>1</v>
      </c>
      <c r="E10" s="4">
        <v>1</v>
      </c>
      <c r="F10" s="4">
        <v>1</v>
      </c>
      <c r="G10" s="11">
        <f t="shared" si="0"/>
        <v>5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2</v>
      </c>
      <c r="P10" s="11">
        <f t="shared" si="1"/>
        <v>9</v>
      </c>
      <c r="Q10" s="4">
        <v>3</v>
      </c>
      <c r="R10" s="4">
        <v>1</v>
      </c>
      <c r="S10" s="11">
        <f t="shared" si="2"/>
        <v>4</v>
      </c>
      <c r="T10" s="12">
        <f t="shared" si="3"/>
        <v>18</v>
      </c>
      <c r="U10" s="22">
        <f t="shared" si="4"/>
        <v>6</v>
      </c>
    </row>
    <row r="11" spans="1:21" s="18" customFormat="1" x14ac:dyDescent="0.25">
      <c r="A11" s="14" t="s">
        <v>8</v>
      </c>
      <c r="B11" s="15">
        <v>1</v>
      </c>
      <c r="C11" s="15">
        <v>1</v>
      </c>
      <c r="D11" s="15">
        <v>1</v>
      </c>
      <c r="E11" s="15">
        <v>1</v>
      </c>
      <c r="F11" s="15">
        <v>1</v>
      </c>
      <c r="G11" s="16">
        <f t="shared" si="0"/>
        <v>5</v>
      </c>
      <c r="H11" s="15">
        <v>1</v>
      </c>
      <c r="I11" s="15">
        <v>0.5</v>
      </c>
      <c r="J11" s="15">
        <v>1</v>
      </c>
      <c r="K11" s="15">
        <v>1</v>
      </c>
      <c r="L11" s="15">
        <v>1</v>
      </c>
      <c r="M11" s="15">
        <v>1</v>
      </c>
      <c r="N11" s="15">
        <v>1</v>
      </c>
      <c r="O11" s="15">
        <v>2</v>
      </c>
      <c r="P11" s="16">
        <f t="shared" si="1"/>
        <v>8.5</v>
      </c>
      <c r="Q11" s="15">
        <v>3</v>
      </c>
      <c r="R11" s="15">
        <v>1</v>
      </c>
      <c r="S11" s="16">
        <f t="shared" si="2"/>
        <v>4</v>
      </c>
      <c r="T11" s="17">
        <f t="shared" si="3"/>
        <v>17.5</v>
      </c>
      <c r="U11" s="21">
        <f t="shared" si="4"/>
        <v>5.8611111111111116</v>
      </c>
    </row>
    <row r="12" spans="1:21" x14ac:dyDescent="0.25">
      <c r="A12" s="10" t="s">
        <v>9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11">
        <f t="shared" si="0"/>
        <v>5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2</v>
      </c>
      <c r="P12" s="11">
        <f t="shared" si="1"/>
        <v>9</v>
      </c>
      <c r="Q12" s="4">
        <v>3</v>
      </c>
      <c r="R12" s="4">
        <v>1</v>
      </c>
      <c r="S12" s="11">
        <f t="shared" si="2"/>
        <v>4</v>
      </c>
      <c r="T12" s="12">
        <f t="shared" si="3"/>
        <v>18</v>
      </c>
      <c r="U12" s="22">
        <f t="shared" si="4"/>
        <v>6</v>
      </c>
    </row>
    <row r="13" spans="1:21" s="18" customFormat="1" x14ac:dyDescent="0.25">
      <c r="A13" s="19" t="s">
        <v>10</v>
      </c>
      <c r="B13" s="15">
        <v>1</v>
      </c>
      <c r="C13" s="15">
        <v>1</v>
      </c>
      <c r="D13" s="15">
        <v>1</v>
      </c>
      <c r="E13" s="15">
        <v>1</v>
      </c>
      <c r="F13" s="15">
        <v>1</v>
      </c>
      <c r="G13" s="16">
        <f t="shared" si="0"/>
        <v>5</v>
      </c>
      <c r="H13" s="15">
        <v>1</v>
      </c>
      <c r="I13" s="15">
        <v>1</v>
      </c>
      <c r="J13" s="15">
        <v>1</v>
      </c>
      <c r="K13" s="15">
        <v>1</v>
      </c>
      <c r="L13" s="15">
        <v>1</v>
      </c>
      <c r="M13" s="15">
        <v>1</v>
      </c>
      <c r="N13" s="15">
        <v>1</v>
      </c>
      <c r="O13" s="15">
        <v>2</v>
      </c>
      <c r="P13" s="16">
        <f t="shared" si="1"/>
        <v>9</v>
      </c>
      <c r="Q13" s="15">
        <v>3</v>
      </c>
      <c r="R13" s="15">
        <v>0.5</v>
      </c>
      <c r="S13" s="16">
        <f t="shared" si="2"/>
        <v>3.5</v>
      </c>
      <c r="T13" s="17">
        <f t="shared" si="3"/>
        <v>17.5</v>
      </c>
      <c r="U13" s="21">
        <f t="shared" si="4"/>
        <v>5.8611111111111116</v>
      </c>
    </row>
    <row r="14" spans="1:21" x14ac:dyDescent="0.25">
      <c r="A14" s="13" t="s">
        <v>11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11">
        <f t="shared" si="0"/>
        <v>0</v>
      </c>
      <c r="H14" s="4">
        <v>1</v>
      </c>
      <c r="I14" s="4">
        <v>0.5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11">
        <f t="shared" si="1"/>
        <v>1.5</v>
      </c>
      <c r="Q14" s="4">
        <v>0.5</v>
      </c>
      <c r="R14" s="4">
        <v>0</v>
      </c>
      <c r="S14" s="11">
        <f t="shared" si="2"/>
        <v>0.5</v>
      </c>
      <c r="T14" s="12">
        <f t="shared" si="3"/>
        <v>2</v>
      </c>
      <c r="U14" s="22">
        <f t="shared" si="4"/>
        <v>1.5555555555555556</v>
      </c>
    </row>
    <row r="15" spans="1:21" s="18" customFormat="1" x14ac:dyDescent="0.25">
      <c r="A15" s="19" t="s">
        <v>12</v>
      </c>
      <c r="B15" s="15"/>
      <c r="C15" s="15"/>
      <c r="D15" s="15"/>
      <c r="E15" s="15"/>
      <c r="F15" s="15"/>
      <c r="G15" s="16">
        <f t="shared" si="0"/>
        <v>0</v>
      </c>
      <c r="H15" s="15"/>
      <c r="I15" s="15"/>
      <c r="J15" s="15"/>
      <c r="K15" s="15"/>
      <c r="L15" s="15"/>
      <c r="M15" s="15"/>
      <c r="N15" s="15"/>
      <c r="O15" s="15"/>
      <c r="P15" s="16">
        <f t="shared" si="1"/>
        <v>0</v>
      </c>
      <c r="Q15" s="15"/>
      <c r="R15" s="15"/>
      <c r="S15" s="16">
        <f t="shared" si="2"/>
        <v>0</v>
      </c>
      <c r="T15" s="17">
        <f t="shared" si="3"/>
        <v>0</v>
      </c>
      <c r="U15" s="21">
        <f t="shared" si="4"/>
        <v>1</v>
      </c>
    </row>
    <row r="16" spans="1:21" x14ac:dyDescent="0.25">
      <c r="A16" s="13" t="s">
        <v>13</v>
      </c>
      <c r="B16" s="4"/>
      <c r="C16" s="4"/>
      <c r="D16" s="4"/>
      <c r="E16" s="4"/>
      <c r="F16" s="4"/>
      <c r="G16" s="11">
        <f t="shared" si="0"/>
        <v>0</v>
      </c>
      <c r="H16" s="4"/>
      <c r="I16" s="4"/>
      <c r="J16" s="4"/>
      <c r="K16" s="4"/>
      <c r="L16" s="4"/>
      <c r="M16" s="4"/>
      <c r="N16" s="4"/>
      <c r="O16" s="4"/>
      <c r="P16" s="11">
        <f t="shared" si="1"/>
        <v>0</v>
      </c>
      <c r="Q16" s="4"/>
      <c r="R16" s="4"/>
      <c r="S16" s="11">
        <f t="shared" si="2"/>
        <v>0</v>
      </c>
      <c r="T16" s="12">
        <f t="shared" si="3"/>
        <v>0</v>
      </c>
      <c r="U16" s="22">
        <f t="shared" si="4"/>
        <v>1</v>
      </c>
    </row>
    <row r="17" spans="1:21" s="18" customFormat="1" x14ac:dyDescent="0.25">
      <c r="A17" s="19" t="s">
        <v>14</v>
      </c>
      <c r="B17" s="15"/>
      <c r="C17" s="15"/>
      <c r="D17" s="15"/>
      <c r="E17" s="15"/>
      <c r="F17" s="15"/>
      <c r="G17" s="16">
        <f t="shared" si="0"/>
        <v>0</v>
      </c>
      <c r="H17" s="15"/>
      <c r="I17" s="15"/>
      <c r="J17" s="15"/>
      <c r="K17" s="15"/>
      <c r="L17" s="15"/>
      <c r="M17" s="15"/>
      <c r="N17" s="15"/>
      <c r="O17" s="15"/>
      <c r="P17" s="16">
        <f t="shared" si="1"/>
        <v>0</v>
      </c>
      <c r="Q17" s="15"/>
      <c r="R17" s="15"/>
      <c r="S17" s="16">
        <f t="shared" si="2"/>
        <v>0</v>
      </c>
      <c r="T17" s="17">
        <f t="shared" si="3"/>
        <v>0</v>
      </c>
      <c r="U17" s="21">
        <f t="shared" si="4"/>
        <v>1</v>
      </c>
    </row>
    <row r="18" spans="1:21" x14ac:dyDescent="0.25">
      <c r="A18" s="13" t="s">
        <v>15</v>
      </c>
      <c r="B18" s="4"/>
      <c r="C18" s="4"/>
      <c r="D18" s="4"/>
      <c r="E18" s="4"/>
      <c r="F18" s="4"/>
      <c r="G18" s="11">
        <f t="shared" si="0"/>
        <v>0</v>
      </c>
      <c r="H18" s="4"/>
      <c r="I18" s="4"/>
      <c r="J18" s="4"/>
      <c r="K18" s="4"/>
      <c r="L18" s="4"/>
      <c r="M18" s="4"/>
      <c r="N18" s="4"/>
      <c r="O18" s="4"/>
      <c r="P18" s="11">
        <f t="shared" si="1"/>
        <v>0</v>
      </c>
      <c r="Q18" s="4"/>
      <c r="R18" s="4"/>
      <c r="S18" s="11">
        <f t="shared" si="2"/>
        <v>0</v>
      </c>
      <c r="T18" s="12">
        <f t="shared" si="3"/>
        <v>0</v>
      </c>
      <c r="U18" s="22">
        <f t="shared" si="4"/>
        <v>1</v>
      </c>
    </row>
    <row r="19" spans="1:21" s="18" customFormat="1" x14ac:dyDescent="0.25">
      <c r="A19" s="19" t="s">
        <v>16</v>
      </c>
      <c r="B19" s="15">
        <v>1</v>
      </c>
      <c r="C19" s="15">
        <v>1</v>
      </c>
      <c r="D19" s="15">
        <v>1</v>
      </c>
      <c r="E19" s="15">
        <v>1</v>
      </c>
      <c r="F19" s="15">
        <v>1</v>
      </c>
      <c r="G19" s="16">
        <f t="shared" si="0"/>
        <v>5</v>
      </c>
      <c r="H19" s="15">
        <v>1</v>
      </c>
      <c r="I19" s="15">
        <v>0.5</v>
      </c>
      <c r="J19" s="15">
        <v>0.5</v>
      </c>
      <c r="K19" s="15">
        <v>1</v>
      </c>
      <c r="L19" s="15">
        <v>1</v>
      </c>
      <c r="M19" s="15">
        <v>1</v>
      </c>
      <c r="N19" s="15">
        <v>0</v>
      </c>
      <c r="O19" s="15">
        <v>2</v>
      </c>
      <c r="P19" s="16">
        <f t="shared" si="1"/>
        <v>7</v>
      </c>
      <c r="Q19" s="15">
        <v>1</v>
      </c>
      <c r="R19" s="15">
        <v>0</v>
      </c>
      <c r="S19" s="16">
        <f t="shared" si="2"/>
        <v>1</v>
      </c>
      <c r="T19" s="17">
        <f t="shared" si="3"/>
        <v>13</v>
      </c>
      <c r="U19" s="21">
        <f t="shared" si="4"/>
        <v>4.6111111111111107</v>
      </c>
    </row>
    <row r="20" spans="1:21" x14ac:dyDescent="0.25">
      <c r="A20" s="13" t="s">
        <v>17</v>
      </c>
      <c r="B20" s="4"/>
      <c r="C20" s="4"/>
      <c r="D20" s="4"/>
      <c r="E20" s="4"/>
      <c r="F20" s="4"/>
      <c r="G20" s="11">
        <f t="shared" si="0"/>
        <v>0</v>
      </c>
      <c r="H20" s="4"/>
      <c r="I20" s="4"/>
      <c r="J20" s="4"/>
      <c r="K20" s="4"/>
      <c r="L20" s="4"/>
      <c r="M20" s="4"/>
      <c r="N20" s="4"/>
      <c r="O20" s="4"/>
      <c r="P20" s="11">
        <f t="shared" si="1"/>
        <v>0</v>
      </c>
      <c r="Q20" s="4"/>
      <c r="R20" s="4"/>
      <c r="S20" s="11">
        <f t="shared" si="2"/>
        <v>0</v>
      </c>
      <c r="T20" s="12">
        <f t="shared" si="3"/>
        <v>0</v>
      </c>
      <c r="U20" s="22">
        <f t="shared" si="4"/>
        <v>1</v>
      </c>
    </row>
    <row r="21" spans="1:21" s="18" customFormat="1" x14ac:dyDescent="0.25">
      <c r="A21" s="19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6">
        <v>0</v>
      </c>
      <c r="H21" s="15">
        <v>1</v>
      </c>
      <c r="I21" s="15">
        <v>1</v>
      </c>
      <c r="J21" s="15">
        <v>0</v>
      </c>
      <c r="K21" s="15">
        <v>1</v>
      </c>
      <c r="L21" s="15">
        <v>1</v>
      </c>
      <c r="M21" s="15">
        <v>0</v>
      </c>
      <c r="N21" s="15">
        <v>0</v>
      </c>
      <c r="O21" s="15">
        <v>0.5</v>
      </c>
      <c r="P21" s="16">
        <f t="shared" si="1"/>
        <v>4.5</v>
      </c>
      <c r="Q21" s="15">
        <v>2</v>
      </c>
      <c r="R21" s="15">
        <v>0</v>
      </c>
      <c r="S21" s="16">
        <f t="shared" si="2"/>
        <v>2</v>
      </c>
      <c r="T21" s="17">
        <f t="shared" si="3"/>
        <v>6.5</v>
      </c>
      <c r="U21" s="21">
        <f t="shared" si="4"/>
        <v>2.8055555555555554</v>
      </c>
    </row>
    <row r="22" spans="1:21" x14ac:dyDescent="0.25">
      <c r="A22" s="13" t="s">
        <v>19</v>
      </c>
      <c r="B22" s="4"/>
      <c r="C22" s="4"/>
      <c r="D22" s="4"/>
      <c r="E22" s="4"/>
      <c r="F22" s="4"/>
      <c r="G22" s="11">
        <f t="shared" si="0"/>
        <v>0</v>
      </c>
      <c r="H22" s="4"/>
      <c r="I22" s="4"/>
      <c r="J22" s="4"/>
      <c r="K22" s="4"/>
      <c r="L22" s="4"/>
      <c r="M22" s="4"/>
      <c r="N22" s="4"/>
      <c r="O22" s="4"/>
      <c r="P22" s="11">
        <f t="shared" si="1"/>
        <v>0</v>
      </c>
      <c r="Q22" s="4"/>
      <c r="R22" s="4"/>
      <c r="S22" s="11">
        <f t="shared" si="2"/>
        <v>0</v>
      </c>
      <c r="T22" s="12">
        <f t="shared" si="3"/>
        <v>0</v>
      </c>
      <c r="U22" s="22">
        <f t="shared" si="4"/>
        <v>1</v>
      </c>
    </row>
    <row r="23" spans="1:21" s="18" customFormat="1" x14ac:dyDescent="0.25">
      <c r="A23" s="19" t="s">
        <v>20</v>
      </c>
      <c r="B23" s="15"/>
      <c r="C23" s="15"/>
      <c r="D23" s="15"/>
      <c r="E23" s="15"/>
      <c r="F23" s="15"/>
      <c r="G23" s="16">
        <f t="shared" si="0"/>
        <v>0</v>
      </c>
      <c r="H23" s="15"/>
      <c r="I23" s="15"/>
      <c r="J23" s="15"/>
      <c r="K23" s="15"/>
      <c r="L23" s="15"/>
      <c r="M23" s="15"/>
      <c r="N23" s="15"/>
      <c r="O23" s="15"/>
      <c r="P23" s="16">
        <f t="shared" si="1"/>
        <v>0</v>
      </c>
      <c r="Q23" s="15"/>
      <c r="R23" s="15"/>
      <c r="S23" s="16">
        <f t="shared" si="2"/>
        <v>0</v>
      </c>
      <c r="T23" s="17">
        <f t="shared" si="3"/>
        <v>0</v>
      </c>
      <c r="U23" s="21">
        <f t="shared" si="4"/>
        <v>1</v>
      </c>
    </row>
    <row r="24" spans="1:21" ht="26.25" x14ac:dyDescent="0.25">
      <c r="A24" s="13" t="s">
        <v>21</v>
      </c>
      <c r="B24" s="4">
        <v>1</v>
      </c>
      <c r="C24" s="4">
        <v>1</v>
      </c>
      <c r="D24" s="4">
        <v>1</v>
      </c>
      <c r="E24" s="4">
        <v>1</v>
      </c>
      <c r="F24" s="4">
        <v>1</v>
      </c>
      <c r="G24" s="11">
        <f t="shared" si="0"/>
        <v>5</v>
      </c>
      <c r="H24" s="4">
        <v>1</v>
      </c>
      <c r="I24" s="4">
        <v>0.5</v>
      </c>
      <c r="J24" s="4">
        <v>0.5</v>
      </c>
      <c r="K24" s="4">
        <v>1</v>
      </c>
      <c r="L24" s="4">
        <v>1</v>
      </c>
      <c r="M24" s="4">
        <v>1</v>
      </c>
      <c r="N24" s="4">
        <v>1</v>
      </c>
      <c r="O24" s="4">
        <v>2</v>
      </c>
      <c r="P24" s="11">
        <f t="shared" si="1"/>
        <v>8</v>
      </c>
      <c r="Q24" s="4">
        <v>2.5</v>
      </c>
      <c r="R24" s="4">
        <v>0</v>
      </c>
      <c r="S24" s="11">
        <f t="shared" si="2"/>
        <v>2.5</v>
      </c>
      <c r="T24" s="12">
        <f t="shared" si="3"/>
        <v>15.5</v>
      </c>
      <c r="U24" s="22">
        <f t="shared" si="4"/>
        <v>5.3055555555555554</v>
      </c>
    </row>
    <row r="25" spans="1:21" s="18" customFormat="1" x14ac:dyDescent="0.25">
      <c r="A25" s="19" t="s">
        <v>22</v>
      </c>
      <c r="B25" s="15">
        <v>1</v>
      </c>
      <c r="C25" s="15">
        <v>1</v>
      </c>
      <c r="D25" s="15">
        <v>1</v>
      </c>
      <c r="E25" s="15">
        <v>1</v>
      </c>
      <c r="F25" s="15">
        <v>1</v>
      </c>
      <c r="G25" s="16">
        <f t="shared" si="0"/>
        <v>5</v>
      </c>
      <c r="H25" s="15">
        <v>1</v>
      </c>
      <c r="I25" s="15">
        <v>1</v>
      </c>
      <c r="J25" s="15">
        <v>1</v>
      </c>
      <c r="K25" s="15">
        <v>1</v>
      </c>
      <c r="L25" s="15">
        <v>1</v>
      </c>
      <c r="M25" s="15">
        <v>1</v>
      </c>
      <c r="N25" s="15">
        <v>1</v>
      </c>
      <c r="O25" s="15">
        <v>1</v>
      </c>
      <c r="P25" s="16">
        <f t="shared" si="1"/>
        <v>8</v>
      </c>
      <c r="Q25" s="15">
        <v>1</v>
      </c>
      <c r="R25" s="15">
        <v>0</v>
      </c>
      <c r="S25" s="16">
        <f t="shared" si="2"/>
        <v>1</v>
      </c>
      <c r="T25" s="17">
        <f t="shared" si="3"/>
        <v>14</v>
      </c>
      <c r="U25" s="21">
        <f t="shared" si="4"/>
        <v>4.8888888888888893</v>
      </c>
    </row>
    <row r="26" spans="1:21" x14ac:dyDescent="0.25">
      <c r="A26" s="13" t="s">
        <v>23</v>
      </c>
      <c r="B26" s="4"/>
      <c r="C26" s="4"/>
      <c r="D26" s="4"/>
      <c r="E26" s="4"/>
      <c r="F26" s="4"/>
      <c r="G26" s="11">
        <f t="shared" si="0"/>
        <v>0</v>
      </c>
      <c r="H26" s="4"/>
      <c r="I26" s="4"/>
      <c r="J26" s="4"/>
      <c r="K26" s="4"/>
      <c r="L26" s="4"/>
      <c r="M26" s="4"/>
      <c r="N26" s="4"/>
      <c r="O26" s="4"/>
      <c r="P26" s="11">
        <f t="shared" si="1"/>
        <v>0</v>
      </c>
      <c r="Q26" s="4"/>
      <c r="R26" s="4"/>
      <c r="S26" s="11">
        <f t="shared" si="2"/>
        <v>0</v>
      </c>
      <c r="T26" s="12">
        <f t="shared" si="3"/>
        <v>0</v>
      </c>
      <c r="U26" s="22">
        <f t="shared" si="4"/>
        <v>1</v>
      </c>
    </row>
    <row r="27" spans="1:21" s="18" customFormat="1" x14ac:dyDescent="0.25">
      <c r="A27" s="19" t="s">
        <v>10</v>
      </c>
      <c r="B27" s="15"/>
      <c r="C27" s="15"/>
      <c r="D27" s="15"/>
      <c r="E27" s="15"/>
      <c r="F27" s="15"/>
      <c r="G27" s="16">
        <f t="shared" si="0"/>
        <v>0</v>
      </c>
      <c r="H27" s="15"/>
      <c r="I27" s="15"/>
      <c r="J27" s="15"/>
      <c r="K27" s="15"/>
      <c r="L27" s="15"/>
      <c r="M27" s="15"/>
      <c r="N27" s="15"/>
      <c r="O27" s="15"/>
      <c r="P27" s="16">
        <f t="shared" si="1"/>
        <v>0</v>
      </c>
      <c r="Q27" s="15"/>
      <c r="R27" s="15"/>
      <c r="S27" s="16">
        <f t="shared" si="2"/>
        <v>0</v>
      </c>
      <c r="T27" s="17">
        <f t="shared" si="3"/>
        <v>0</v>
      </c>
      <c r="U27" s="21">
        <f t="shared" si="4"/>
        <v>1</v>
      </c>
    </row>
    <row r="28" spans="1:21" x14ac:dyDescent="0.25">
      <c r="A28" s="13" t="s">
        <v>24</v>
      </c>
      <c r="B28" s="4"/>
      <c r="C28" s="4"/>
      <c r="D28" s="4"/>
      <c r="E28" s="4"/>
      <c r="F28" s="4"/>
      <c r="G28" s="11">
        <f t="shared" si="0"/>
        <v>0</v>
      </c>
      <c r="H28" s="4"/>
      <c r="I28" s="4"/>
      <c r="J28" s="4"/>
      <c r="K28" s="4"/>
      <c r="L28" s="4"/>
      <c r="M28" s="4"/>
      <c r="N28" s="4"/>
      <c r="O28" s="4"/>
      <c r="P28" s="11">
        <f t="shared" si="1"/>
        <v>0</v>
      </c>
      <c r="Q28" s="4"/>
      <c r="R28" s="4"/>
      <c r="S28" s="11">
        <f t="shared" si="2"/>
        <v>0</v>
      </c>
      <c r="T28" s="12">
        <f t="shared" si="3"/>
        <v>0</v>
      </c>
      <c r="U28" s="22">
        <f t="shared" si="4"/>
        <v>1</v>
      </c>
    </row>
    <row r="29" spans="1:21" s="18" customFormat="1" x14ac:dyDescent="0.25">
      <c r="A29" s="19" t="s">
        <v>25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6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6">
        <f t="shared" si="1"/>
        <v>0</v>
      </c>
      <c r="Q29" s="15">
        <v>1.5</v>
      </c>
      <c r="R29" s="15">
        <v>0</v>
      </c>
      <c r="S29" s="16">
        <f t="shared" si="2"/>
        <v>1.5</v>
      </c>
      <c r="T29" s="17">
        <f t="shared" si="3"/>
        <v>1.5</v>
      </c>
      <c r="U29" s="21">
        <f t="shared" si="4"/>
        <v>1.4166666666666667</v>
      </c>
    </row>
    <row r="30" spans="1:21" ht="26.25" x14ac:dyDescent="0.25">
      <c r="A30" s="13" t="s">
        <v>26</v>
      </c>
      <c r="B30" s="4"/>
      <c r="C30" s="4"/>
      <c r="D30" s="4"/>
      <c r="E30" s="4"/>
      <c r="F30" s="4"/>
      <c r="G30" s="11">
        <f t="shared" si="0"/>
        <v>0</v>
      </c>
      <c r="H30" s="4"/>
      <c r="I30" s="4"/>
      <c r="J30" s="4"/>
      <c r="K30" s="4"/>
      <c r="L30" s="4"/>
      <c r="M30" s="4"/>
      <c r="N30" s="4"/>
      <c r="O30" s="4"/>
      <c r="P30" s="11">
        <f t="shared" si="1"/>
        <v>0</v>
      </c>
      <c r="Q30" s="4"/>
      <c r="R30" s="4"/>
      <c r="S30" s="11">
        <f t="shared" si="2"/>
        <v>0</v>
      </c>
      <c r="T30" s="12">
        <f t="shared" si="3"/>
        <v>0</v>
      </c>
      <c r="U30" s="22">
        <f t="shared" si="4"/>
        <v>1</v>
      </c>
    </row>
    <row r="31" spans="1:21" s="18" customFormat="1" x14ac:dyDescent="0.25">
      <c r="A31" s="19" t="s">
        <v>27</v>
      </c>
      <c r="B31" s="15"/>
      <c r="C31" s="15"/>
      <c r="D31" s="15"/>
      <c r="E31" s="15"/>
      <c r="F31" s="15"/>
      <c r="G31" s="16">
        <f t="shared" si="0"/>
        <v>0</v>
      </c>
      <c r="H31" s="15"/>
      <c r="I31" s="15"/>
      <c r="J31" s="15"/>
      <c r="K31" s="15"/>
      <c r="L31" s="15"/>
      <c r="M31" s="15"/>
      <c r="N31" s="15"/>
      <c r="O31" s="15"/>
      <c r="P31" s="16">
        <f t="shared" si="1"/>
        <v>0</v>
      </c>
      <c r="Q31" s="15"/>
      <c r="R31" s="15"/>
      <c r="S31" s="16">
        <f t="shared" si="2"/>
        <v>0</v>
      </c>
      <c r="T31" s="17">
        <f t="shared" si="3"/>
        <v>0</v>
      </c>
      <c r="U31" s="21">
        <f t="shared" si="4"/>
        <v>1</v>
      </c>
    </row>
    <row r="32" spans="1:21" x14ac:dyDescent="0.25">
      <c r="A32" s="13" t="s">
        <v>28</v>
      </c>
      <c r="B32" s="4"/>
      <c r="C32" s="4"/>
      <c r="D32" s="4"/>
      <c r="E32" s="4"/>
      <c r="F32" s="4"/>
      <c r="G32" s="11">
        <f t="shared" si="0"/>
        <v>0</v>
      </c>
      <c r="H32" s="4"/>
      <c r="I32" s="4"/>
      <c r="J32" s="4"/>
      <c r="K32" s="4"/>
      <c r="L32" s="4"/>
      <c r="M32" s="4"/>
      <c r="N32" s="4"/>
      <c r="O32" s="4"/>
      <c r="P32" s="11">
        <f t="shared" si="1"/>
        <v>0</v>
      </c>
      <c r="Q32" s="4"/>
      <c r="R32" s="4"/>
      <c r="S32" s="11">
        <f t="shared" si="2"/>
        <v>0</v>
      </c>
      <c r="T32" s="12">
        <f t="shared" si="3"/>
        <v>0</v>
      </c>
      <c r="U32" s="22">
        <f t="shared" si="4"/>
        <v>1</v>
      </c>
    </row>
    <row r="33" spans="1:21" s="18" customFormat="1" x14ac:dyDescent="0.25">
      <c r="A33" s="19" t="s">
        <v>29</v>
      </c>
      <c r="B33" s="15">
        <v>1</v>
      </c>
      <c r="C33" s="15">
        <v>1</v>
      </c>
      <c r="D33" s="15">
        <v>1</v>
      </c>
      <c r="E33" s="15">
        <v>1</v>
      </c>
      <c r="F33" s="15">
        <v>1</v>
      </c>
      <c r="G33" s="16">
        <f t="shared" si="0"/>
        <v>5</v>
      </c>
      <c r="H33" s="15">
        <v>1</v>
      </c>
      <c r="I33" s="15">
        <v>1</v>
      </c>
      <c r="J33" s="15">
        <v>0.5</v>
      </c>
      <c r="K33" s="15">
        <v>1</v>
      </c>
      <c r="L33" s="15">
        <v>1</v>
      </c>
      <c r="M33" s="15">
        <v>1</v>
      </c>
      <c r="N33" s="15">
        <v>1</v>
      </c>
      <c r="O33" s="15">
        <v>2</v>
      </c>
      <c r="P33" s="16">
        <f t="shared" si="1"/>
        <v>8.5</v>
      </c>
      <c r="Q33" s="15">
        <v>1</v>
      </c>
      <c r="R33" s="15">
        <v>0</v>
      </c>
      <c r="S33" s="16">
        <f t="shared" si="2"/>
        <v>1</v>
      </c>
      <c r="T33" s="17">
        <f t="shared" si="3"/>
        <v>14.5</v>
      </c>
      <c r="U33" s="21">
        <f t="shared" si="4"/>
        <v>5.0277777777777777</v>
      </c>
    </row>
    <row r="34" spans="1:21" x14ac:dyDescent="0.25">
      <c r="A34" s="13" t="s">
        <v>30</v>
      </c>
      <c r="B34" s="4"/>
      <c r="C34" s="4"/>
      <c r="D34" s="4"/>
      <c r="E34" s="4"/>
      <c r="F34" s="4"/>
      <c r="G34" s="11">
        <f t="shared" si="0"/>
        <v>0</v>
      </c>
      <c r="H34" s="4"/>
      <c r="I34" s="4"/>
      <c r="J34" s="4"/>
      <c r="K34" s="4"/>
      <c r="L34" s="4"/>
      <c r="M34" s="4"/>
      <c r="N34" s="4"/>
      <c r="O34" s="4"/>
      <c r="P34" s="11">
        <f t="shared" si="1"/>
        <v>0</v>
      </c>
      <c r="Q34" s="4"/>
      <c r="R34" s="4"/>
      <c r="S34" s="11">
        <f t="shared" si="2"/>
        <v>0</v>
      </c>
      <c r="T34" s="12">
        <f t="shared" si="3"/>
        <v>0</v>
      </c>
      <c r="U34" s="22">
        <f t="shared" si="4"/>
        <v>1</v>
      </c>
    </row>
    <row r="35" spans="1:21" s="18" customFormat="1" x14ac:dyDescent="0.25">
      <c r="A35" s="19" t="s">
        <v>31</v>
      </c>
      <c r="B35" s="15"/>
      <c r="C35" s="15"/>
      <c r="D35" s="15"/>
      <c r="E35" s="15"/>
      <c r="F35" s="15"/>
      <c r="G35" s="16">
        <f t="shared" si="0"/>
        <v>0</v>
      </c>
      <c r="H35" s="15"/>
      <c r="I35" s="15"/>
      <c r="J35" s="15"/>
      <c r="K35" s="15"/>
      <c r="L35" s="15"/>
      <c r="M35" s="15"/>
      <c r="N35" s="15"/>
      <c r="O35" s="15"/>
      <c r="P35" s="16">
        <f t="shared" si="1"/>
        <v>0</v>
      </c>
      <c r="Q35" s="15"/>
      <c r="R35" s="15"/>
      <c r="S35" s="16">
        <f t="shared" si="2"/>
        <v>0</v>
      </c>
      <c r="T35" s="17">
        <f t="shared" si="3"/>
        <v>0</v>
      </c>
      <c r="U35" s="21">
        <f t="shared" si="4"/>
        <v>1</v>
      </c>
    </row>
    <row r="36" spans="1:21" ht="26.25" x14ac:dyDescent="0.25">
      <c r="A36" s="13" t="s">
        <v>32</v>
      </c>
      <c r="B36" s="4">
        <v>1</v>
      </c>
      <c r="C36" s="4">
        <v>1</v>
      </c>
      <c r="D36" s="4">
        <v>1</v>
      </c>
      <c r="E36" s="4">
        <v>1</v>
      </c>
      <c r="F36" s="4">
        <v>1</v>
      </c>
      <c r="G36" s="11">
        <f t="shared" si="0"/>
        <v>5</v>
      </c>
      <c r="H36" s="4">
        <v>1</v>
      </c>
      <c r="I36" s="4">
        <v>0.5</v>
      </c>
      <c r="J36" s="4">
        <v>1</v>
      </c>
      <c r="K36" s="4">
        <v>1</v>
      </c>
      <c r="L36" s="4">
        <v>1</v>
      </c>
      <c r="M36" s="4">
        <v>0</v>
      </c>
      <c r="N36" s="4">
        <v>1</v>
      </c>
      <c r="O36" s="4">
        <v>0.5</v>
      </c>
      <c r="P36" s="11">
        <f t="shared" si="1"/>
        <v>6</v>
      </c>
      <c r="Q36" s="4">
        <v>1</v>
      </c>
      <c r="R36" s="4">
        <v>0</v>
      </c>
      <c r="S36" s="11">
        <f t="shared" si="2"/>
        <v>1</v>
      </c>
      <c r="T36" s="12">
        <f t="shared" si="3"/>
        <v>12</v>
      </c>
      <c r="U36" s="22">
        <f t="shared" si="4"/>
        <v>4.3333333333333339</v>
      </c>
    </row>
    <row r="37" spans="1:21" s="18" customFormat="1" x14ac:dyDescent="0.25">
      <c r="A37" s="19" t="s">
        <v>33</v>
      </c>
      <c r="B37" s="15">
        <v>1</v>
      </c>
      <c r="C37" s="15">
        <v>1</v>
      </c>
      <c r="D37" s="15">
        <v>1</v>
      </c>
      <c r="E37" s="15">
        <v>1</v>
      </c>
      <c r="F37" s="15">
        <v>1</v>
      </c>
      <c r="G37" s="16">
        <f t="shared" si="0"/>
        <v>5</v>
      </c>
      <c r="H37" s="15">
        <v>1</v>
      </c>
      <c r="I37" s="15">
        <v>1</v>
      </c>
      <c r="J37" s="15">
        <v>0.5</v>
      </c>
      <c r="K37" s="15">
        <v>1</v>
      </c>
      <c r="L37" s="15">
        <v>1</v>
      </c>
      <c r="M37" s="15">
        <v>1</v>
      </c>
      <c r="N37" s="15">
        <v>1</v>
      </c>
      <c r="O37" s="15">
        <v>0.5</v>
      </c>
      <c r="P37" s="16">
        <f t="shared" si="1"/>
        <v>7</v>
      </c>
      <c r="Q37" s="15">
        <v>2.5</v>
      </c>
      <c r="R37" s="15">
        <v>0</v>
      </c>
      <c r="S37" s="16">
        <f t="shared" si="2"/>
        <v>2.5</v>
      </c>
      <c r="T37" s="17">
        <f t="shared" si="3"/>
        <v>14.5</v>
      </c>
      <c r="U37" s="21">
        <f t="shared" si="4"/>
        <v>5.0277777777777777</v>
      </c>
    </row>
    <row r="38" spans="1:21" x14ac:dyDescent="0.25">
      <c r="A38" s="13" t="s">
        <v>34</v>
      </c>
      <c r="B38" s="4">
        <v>1</v>
      </c>
      <c r="C38" s="4">
        <v>1</v>
      </c>
      <c r="D38" s="4">
        <v>1</v>
      </c>
      <c r="E38" s="4">
        <v>1</v>
      </c>
      <c r="F38" s="4">
        <v>1</v>
      </c>
      <c r="G38" s="11">
        <f t="shared" si="0"/>
        <v>5</v>
      </c>
      <c r="H38" s="4">
        <v>1</v>
      </c>
      <c r="I38" s="4">
        <v>0.5</v>
      </c>
      <c r="J38" s="4">
        <v>0.5</v>
      </c>
      <c r="K38" s="4">
        <v>1</v>
      </c>
      <c r="L38" s="4">
        <v>1</v>
      </c>
      <c r="M38" s="4">
        <v>0</v>
      </c>
      <c r="N38" s="4">
        <v>0</v>
      </c>
      <c r="O38" s="4">
        <v>2</v>
      </c>
      <c r="P38" s="11">
        <f t="shared" si="1"/>
        <v>6</v>
      </c>
      <c r="Q38" s="4">
        <v>0.5</v>
      </c>
      <c r="R38" s="4">
        <v>0</v>
      </c>
      <c r="S38" s="11">
        <f t="shared" si="2"/>
        <v>0.5</v>
      </c>
      <c r="T38" s="12">
        <f t="shared" si="3"/>
        <v>11.5</v>
      </c>
      <c r="U38" s="22">
        <f t="shared" si="4"/>
        <v>4.1944444444444446</v>
      </c>
    </row>
    <row r="39" spans="1:21" s="18" customFormat="1" x14ac:dyDescent="0.25">
      <c r="A39" s="19" t="s">
        <v>35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6">
        <f t="shared" si="0"/>
        <v>0</v>
      </c>
      <c r="H39" s="15">
        <v>0.5</v>
      </c>
      <c r="I39" s="15">
        <v>0.5</v>
      </c>
      <c r="J39" s="15">
        <v>0.5</v>
      </c>
      <c r="K39" s="15">
        <v>1</v>
      </c>
      <c r="L39" s="15">
        <v>1</v>
      </c>
      <c r="M39" s="15">
        <v>1</v>
      </c>
      <c r="N39" s="15">
        <v>1</v>
      </c>
      <c r="O39" s="15">
        <v>0.5</v>
      </c>
      <c r="P39" s="16">
        <f t="shared" si="1"/>
        <v>6</v>
      </c>
      <c r="Q39" s="15">
        <v>2</v>
      </c>
      <c r="R39" s="15">
        <v>0</v>
      </c>
      <c r="S39" s="16">
        <f t="shared" si="2"/>
        <v>2</v>
      </c>
      <c r="T39" s="17">
        <f t="shared" si="3"/>
        <v>8</v>
      </c>
      <c r="U39" s="21">
        <f t="shared" si="4"/>
        <v>3.2222222222222223</v>
      </c>
    </row>
    <row r="40" spans="1:21" x14ac:dyDescent="0.25">
      <c r="A40" s="13" t="s">
        <v>52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11">
        <f t="shared" si="0"/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11">
        <f t="shared" si="1"/>
        <v>0</v>
      </c>
      <c r="Q40" s="4">
        <v>0</v>
      </c>
      <c r="R40" s="4">
        <v>0</v>
      </c>
      <c r="S40" s="11">
        <f t="shared" si="2"/>
        <v>0</v>
      </c>
      <c r="T40" s="12">
        <f t="shared" si="3"/>
        <v>0</v>
      </c>
      <c r="U40" s="22">
        <f t="shared" si="4"/>
        <v>1</v>
      </c>
    </row>
  </sheetData>
  <mergeCells count="9">
    <mergeCell ref="S2:S3"/>
    <mergeCell ref="Q2:R2"/>
    <mergeCell ref="T2:T3"/>
    <mergeCell ref="U2:U3"/>
    <mergeCell ref="B2:F2"/>
    <mergeCell ref="H2:J2"/>
    <mergeCell ref="K2:N2"/>
    <mergeCell ref="G2:G3"/>
    <mergeCell ref="P2:P3"/>
  </mergeCells>
  <conditionalFormatting sqref="U4:U4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2018-04-20T07:32:31Z</dcterms:modified>
</cp:coreProperties>
</file>